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Funnel" sheetId="3" state="visible" r:id="rId5"/>
    <sheet name="BreakEven" sheetId="4" state="visible" r:id="rId6"/>
    <sheet name="ScaleUp" sheetId="5" state="visible" r:id="rId7"/>
    <sheet name="Benchmark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<sst xmlns="http://schemas.openxmlformats.org/spreadsheetml/2006/main" count="185" uniqueCount="160">
  <si>
    <t xml:space="preserve">Foundation Module — one month of ads at ₹500/day</t>
  </si>
  <si>
    <t xml:space="preserve">Budget ₹15,000 · Price ₹4,999 · Prepared August 2026. All figures flow from the Assumptions tab.</t>
  </si>
  <si>
    <t xml:space="preserve">Worst case</t>
  </si>
  <si>
    <t xml:space="preserve">Realistic</t>
  </si>
  <si>
    <t xml:space="preserve">Best case</t>
  </si>
  <si>
    <t xml:space="preserve">Ad spend (₹)</t>
  </si>
  <si>
    <t xml:space="preserve">People reached (impressions)</t>
  </si>
  <si>
    <t xml:space="preserve">Clicks to landing page</t>
  </si>
  <si>
    <t xml:space="preserve">Form submissions</t>
  </si>
  <si>
    <t xml:space="preserve">Enrolments</t>
  </si>
  <si>
    <t xml:space="preserve">Revenue (₹)</t>
  </si>
  <si>
    <t xml:space="preserve">Net before other costs (₹)</t>
  </si>
  <si>
    <t xml:space="preserve">ROAS</t>
  </si>
  <si>
    <t xml:space="preserve">Cost per enrolment (₹)</t>
  </si>
  <si>
    <t xml:space="preserve">THE ONE NUMBER THAT MATTERS</t>
  </si>
  <si>
    <t xml:space="preserve">Enrolments needed just to cover the ad spend</t>
  </si>
  <si>
    <t xml:space="preserve">Four students. Three would leave you ₹3 short — ₹4,999 × 3 = ₹14,997 against ₹15,000 of spend. Everything above four is profit on the ad line. In the realistic case you clear that bar by about one student, which is a very thin margin, and it is why the landing page matters more than the ads do.</t>
  </si>
  <si>
    <t xml:space="preserve">WHAT THIS MODEL ACTUALLY SAYS</t>
  </si>
  <si>
    <t xml:space="preserve">▪  ₹500/day is a test budget, not a growth budget.</t>
  </si>
  <si>
    <t xml:space="preserve">    A month at this level produces roughly five enrolments in the realistic case. That is enough to learn whether the funnel works. It is not enough to fill a batch.</t>
  </si>
  <si>
    <t xml:space="preserve">▪  The downside is capped and small; the upside is real.</t>
  </si>
  <si>
    <t xml:space="preserve">    Worst case you lose about ₹13,000 — roughly the cost of one enrolment. Best case you make about ₹80,000. That is a sensible risk to take, and it is the strongest argument for running this at all.</t>
  </si>
  <si>
    <t xml:space="preserve">▪  The campaign will never exit Meta's learning phase at this budget.</t>
  </si>
  <si>
    <t xml:space="preserve">    Meta wants ~50 conversions per week per ad set. You will produce about one. Optimise for landing page views or form starts instead of purchases, or the algorithm is flying blind.</t>
  </si>
  <si>
    <t xml:space="preserve">▪  Your biggest lever is the landing page, not the ads.</t>
  </si>
  <si>
    <t xml:space="preserve">    Payment completion rate moves the outcome more than CTR does. Going from 16% to 22% checkout completion is worth more than doubling your click rate — and it costs nothing but a page edit.</t>
  </si>
  <si>
    <t xml:space="preserve">▪  Non-refundable is probably costing you the most.</t>
  </si>
  <si>
    <t xml:space="preserve">    It sits exactly where the money is won or lost. A short refund window would likely pay for itself several times over at this price point on cold traffic.</t>
  </si>
  <si>
    <t xml:space="preserve">▪  Judge the month on cost per enrolment, not revenue.</t>
  </si>
  <si>
    <t xml:space="preserve">    If CAC comes in under about ₹2,000, the funnel works and you should raise budget. Between ₹2,000 and ₹4,999 it is marginal — fix the page first. Above ₹4,999 you are paying people to enrol.</t>
  </si>
  <si>
    <t xml:space="preserve">▪  More budget does not mean more profit.</t>
  </si>
  <si>
    <t xml:space="preserve">    On the ScaleUp tab, net profit peaks near ₹1,500/day and then falls at ₹3,000/day, because CPM rises faster than revenue. Spending harder is not the lever — improving the checkout is.</t>
  </si>
  <si>
    <t xml:space="preserve">HOW TO USE THIS WORKBOOK</t>
  </si>
  <si>
    <t xml:space="preserve">Assumptions — change anything blue/yellow.  ·  Funnel — the full calculation.  ·  BreakEven — sensitivity grid and the learning-phase problem.  ·  ScaleUp — what more budget buys.  ·  Benchmarks — sources for every published figure used.</t>
  </si>
  <si>
    <t xml:space="preserve">Assumptions — edit the blue cells</t>
  </si>
  <si>
    <t xml:space="preserve">Every number in this workbook is driven from this sheet. Change anything blue and all scenarios recalculate.</t>
  </si>
  <si>
    <t xml:space="preserve">CAMPAIGN INPUTS</t>
  </si>
  <si>
    <t xml:space="preserve">Daily budget (₹)</t>
  </si>
  <si>
    <t xml:space="preserve">From you. Meta charges per day; a month is billed as 30 daily cycles.</t>
  </si>
  <si>
    <t xml:space="preserve">Campaign length (days)</t>
  </si>
  <si>
    <t xml:space="preserve">One month.</t>
  </si>
  <si>
    <t xml:space="preserve">Price per enrolment (₹)</t>
  </si>
  <si>
    <t xml:space="preserve">Foundation Module campaign price, from your landing page.</t>
  </si>
  <si>
    <t xml:space="preserve">Standard price (₹)</t>
  </si>
  <si>
    <t xml:space="preserve">Anchor price shown on the landing page. Not used in revenue maths.</t>
  </si>
  <si>
    <t xml:space="preserve">Total ad spend for the month (₹)</t>
  </si>
  <si>
    <t xml:space="preserve">Daily budget × days.</t>
  </si>
  <si>
    <t xml:space="preserve">SCENARIO DRIVERS</t>
  </si>
  <si>
    <t xml:space="preserve">Three cases. These five rates are what actually decide whether this campaign makes or loses money.</t>
  </si>
  <si>
    <t xml:space="preserve">Funnel rate</t>
  </si>
  <si>
    <t xml:space="preserve">Where the number comes from</t>
  </si>
  <si>
    <t xml:space="preserve">CPM — cost per 1,000 impressions (₹)</t>
  </si>
  <si>
    <t xml:space="preserve">India Meta CPM benchmarks 2026 run ₹50–400; education auctions are crowded and rose ~15% this year. A narrow pharma-student audience prices above broad. Reels placement is 25–40% cheaper than feed, which is why the best case is achievable.</t>
  </si>
  <si>
    <t xml:space="preserve">CTR — link click rate</t>
  </si>
  <si>
    <t xml:space="preserve">Meta global average ~0.9%. Above 1.2% indicates above-average creative. Below 0.8% on cold traffic signals a creative problem, not an audience problem.</t>
  </si>
  <si>
    <t xml:space="preserve">Landing page view rate</t>
  </si>
  <si>
    <t xml:space="preserve">Share of clicks that actually load the page. Losses come from slow mobile loads and accidental taps. Judgement estimate — measure and replace with your real number.</t>
  </si>
  <si>
    <t xml:space="preserve">Form submission rate</t>
  </si>
  <si>
    <t xml:space="preserve">Share of page visitors who complete the form. Gated behind a visible ₹4,999 price, so lower than a free lead magnet. Judgement estimate.</t>
  </si>
  <si>
    <t xml:space="preserve">Payment completion rate</t>
  </si>
  <si>
    <t xml:space="preserve">Share of form submissions that finish Razorpay checkout. Non-refundable at ₹4,999 on cold traffic is the main drag here. Judgement estimate — this is the single most uncertain input in the model.</t>
  </si>
  <si>
    <t xml:space="preserve">A NOTE ON HOW THESE WERE SET</t>
  </si>
  <si>
    <t xml:space="preserve">•  CPM and CTR are anchored to published India Meta benchmarks for 2026 (sources on the Benchmarks tab).</t>
  </si>
  <si>
    <t xml:space="preserve">•  The three page-and-checkout rates are judgement estimates. Nobody publishes reliable benchmarks for "cold traffic to a non-refundable ₹4,999 checkout" because very few people run that funnel.</t>
  </si>
  <si>
    <t xml:space="preserve">•  The best case is deliberately NOT every input at its most optimistic. Compounding five best cases produces a fantasy — it implies a cost per form-fill far below anything the India education benchmarks support. Best case here means "this went well", not "everything went perfectly".</t>
  </si>
  <si>
    <t xml:space="preserve">•  Replace all five with your real numbers after week one. The model is built to be overwritten.</t>
  </si>
  <si>
    <t xml:space="preserve">Funnel model — one month at ₹500/day</t>
  </si>
  <si>
    <t xml:space="preserve">Black cells are formulas driven from the Assumptions tab. Nothing here is typed in by hand.</t>
  </si>
  <si>
    <t xml:space="preserve">Stage</t>
  </si>
  <si>
    <t xml:space="preserve">What this step means</t>
  </si>
  <si>
    <t xml:space="preserve">Same in all three cases — the budget is fixed.</t>
  </si>
  <si>
    <t xml:space="preserve">Impressions</t>
  </si>
  <si>
    <t xml:space="preserve">Times your ad appears on a screen. Spend ÷ CPM × 1,000.</t>
  </si>
  <si>
    <t xml:space="preserve">Link clicks</t>
  </si>
  <si>
    <t xml:space="preserve">People who tapped through to the landing page.</t>
  </si>
  <si>
    <t xml:space="preserve">Landing page views</t>
  </si>
  <si>
    <t xml:space="preserve">Clicks that actually loaded the page.</t>
  </si>
  <si>
    <t xml:space="preserve">People who filled in their details.</t>
  </si>
  <si>
    <t xml:space="preserve">Enrolments (paid)</t>
  </si>
  <si>
    <t xml:space="preserve">People who completed the Razorpay payment. This is the only number that pays the bills.</t>
  </si>
  <si>
    <t xml:space="preserve">MONEY</t>
  </si>
  <si>
    <t xml:space="preserve">Notes</t>
  </si>
  <si>
    <t xml:space="preserve">Enrolments × ₹4,999. Gross — before Razorpay fees, taxes and delivery cost.</t>
  </si>
  <si>
    <t xml:space="preserve">Revenue minus ad spend only. Your own time, Razorpay fees (~2%) and GST are NOT in here.</t>
  </si>
  <si>
    <t xml:space="preserve">ROAS (return on ad spend)</t>
  </si>
  <si>
    <t xml:space="preserve">Revenue per ₹1 of ad spend. Below 1.00x means the ads lost money.</t>
  </si>
  <si>
    <t xml:space="preserve">CAC — cost per enrolment (₹)</t>
  </si>
  <si>
    <t xml:space="preserve">What one paying student costs you. Must stay comfortably under ₹4,999.</t>
  </si>
  <si>
    <t xml:space="preserve">Cost per form submission (₹)</t>
  </si>
  <si>
    <t xml:space="preserve">Compare against the India education benchmark of ₹180–400 per lead. Ours sits higher because the form is behind a visible price.</t>
  </si>
  <si>
    <t xml:space="preserve">Break-even and sensitivity</t>
  </si>
  <si>
    <t xml:space="preserve">The question that matters more than any scenario: how many students do you need before the ads stop costing you money?</t>
  </si>
  <si>
    <t xml:space="preserve">BREAK-EVEN</t>
  </si>
  <si>
    <t xml:space="preserve">Enrolments needed to break even</t>
  </si>
  <si>
    <t xml:space="preserve">Round up — students you must actually get</t>
  </si>
  <si>
    <t xml:space="preserve">Break-even counts ad spend only. Add Razorpay fees (~2%), GST, and the cost of actually delivering the programme and the real figure is higher.</t>
  </si>
  <si>
    <t xml:space="preserve">SENSITIVITY — ENROLMENTS AT DIFFERENT CTR AND PAYMENT RATES</t>
  </si>
  <si>
    <t xml:space="preserve">Realistic CPM, landing page rate and form rate held constant. Only the two levers you can most easily influence are varied: creative quality (CTR) and checkout friction (payment completion).</t>
  </si>
  <si>
    <t xml:space="preserve">CTR  ↓        Payment completion  →</t>
  </si>
  <si>
    <t xml:space="preserve">Break-even line</t>
  </si>
  <si>
    <t xml:space="preserve">Any cell in the grid at or above the break-even number in B8 means the campaign paid for itself. Below it, you funded Meta.</t>
  </si>
  <si>
    <t xml:space="preserve">THE STRUCTURAL PROBLEM WITH ₹500/DAY</t>
  </si>
  <si>
    <t xml:space="preserve">•  Meta needs roughly 50 conversions per week, per ad set, to exit the learning phase and optimise properly.</t>
  </si>
  <si>
    <t xml:space="preserve">•  At the realistic case this campaign produces about 5 purchases in a MONTH — roughly one a week. The algorithm will never leave the learning phase, so it never learns who buys.</t>
  </si>
  <si>
    <t xml:space="preserve">•  Practical fix: do not optimise the campaign for Purchase. Optimise for a cheaper mid-funnel event — landing page view, or form start — which happens often enough to train on. Then watch purchases as your reporting metric, not your optimisation target.</t>
  </si>
  <si>
    <t xml:space="preserve">•  Second consequence: at this volume a single week of data tells you almost nothing. Two enrolments versus four is noise, not a signal. Resist the urge to switch off a script on day three.</t>
  </si>
  <si>
    <t xml:space="preserve">What happens if you spend more</t>
  </si>
  <si>
    <t xml:space="preserve">Realistic-case rates held constant, except CPM — which rises as you push the same creative at a bigger audience.</t>
  </si>
  <si>
    <t xml:space="preserve">₹500/day</t>
  </si>
  <si>
    <t xml:space="preserve">₹1,500/day</t>
  </si>
  <si>
    <t xml:space="preserve">₹3,000/day</t>
  </si>
  <si>
    <t xml:space="preserve">Monthly spend (₹)</t>
  </si>
  <si>
    <t xml:space="preserve">CPM assumption (₹)</t>
  </si>
  <si>
    <t xml:space="preserve">CPM rises with budget because you exhaust the cheapest slice of the audience first and frequency climbs. The 15% and 40% increases used here are judgement estimates, not published figures.</t>
  </si>
  <si>
    <t xml:space="preserve">CAC per enrolment (₹)</t>
  </si>
  <si>
    <t xml:space="preserve">HOW TO READ THIS</t>
  </si>
  <si>
    <t xml:space="preserve">•  Look at the Net row, not the Revenue row. Revenue keeps climbing with budget — but net profit peaks around ₹1,500/day and then FALLS at ₹3,000/day, because CPM rises faster than revenue does. Spending more money here earns you less. That is the single most useful thing on this sheet.</t>
  </si>
  <si>
    <t xml:space="preserve">•  Do not jump to ₹3,000/day because the revenue column looks better. These numbers assume the realistic conversion rates hold at scale — and they usually do not, because a bigger audience is a colder audience.</t>
  </si>
  <si>
    <t xml:space="preserve">•  The correct sequence is: prove CAC at ₹500/day, then raise budget by roughly 30% every three days while CAC stays under about ₹2,000. If CAC climbs past that, stop and fix the page before spending more.</t>
  </si>
  <si>
    <t xml:space="preserve">•  One genuine advantage of scale: at ₹3,000/day you produce enough purchases per week for Meta to actually optimise, which tends to improve efficiency rather than worsen it. That effect is not modelled here — treat these figures as the pessimistic view of scaling.</t>
  </si>
  <si>
    <t xml:space="preserve">Benchmarks and sources</t>
  </si>
  <si>
    <t xml:space="preserve">Where the published numbers came from, and which numbers are judgement rather than data.</t>
  </si>
  <si>
    <t xml:space="preserve">Metric</t>
  </si>
  <si>
    <t xml:space="preserve">Published range</t>
  </si>
  <si>
    <t xml:space="preserve">What it means for us</t>
  </si>
  <si>
    <t xml:space="preserve">Source</t>
  </si>
  <si>
    <t xml:space="preserve">Meta CPM, India (all industries)</t>
  </si>
  <si>
    <t xml:space="preserve">₹50–400 (Facebook)
₹45–350 (Instagram)</t>
  </si>
  <si>
    <t xml:space="preserve">Wide because it spans every industry and audience size. Our narrow pharma-student audience prices in the middle-to-upper part of the range.</t>
  </si>
  <si>
    <t xml:space="preserve">productgrowth.in / vgraple.com, India Meta benchmarks 2026</t>
  </si>
  <si>
    <t xml:space="preserve">Meta CPM, India — trend</t>
  </si>
  <si>
    <t xml:space="preserve">Up ~23% year on year</t>
  </si>
  <si>
    <t xml:space="preserve">Rising costs, concentrated in tier-1 metros. Targeting tier-2 and tier-3 cities can cut CPM by 30–50% — worth testing given our audience is students.</t>
  </si>
  <si>
    <t xml:space="preserve">productgrowth.in, aggregated from 340+ Indian accounts, Jan–Mar 2026</t>
  </si>
  <si>
    <t xml:space="preserve">Education sector cost trend</t>
  </si>
  <si>
    <t xml:space="preserve">Up ~15% in 2026</t>
  </si>
  <si>
    <t xml:space="preserve">Crowded auctions in education specifically. Factored into our CPM assumptions.</t>
  </si>
  <si>
    <t xml:space="preserve">upgrowth.in, Facebook Ads pricing by industry 2026</t>
  </si>
  <si>
    <t xml:space="preserve">Reels vs feed placement</t>
  </si>
  <si>
    <t xml:space="preserve">Reels 25–40% cheaper CPM</t>
  </si>
  <si>
    <t xml:space="preserve">Directly relevant — our creative is vertical video. This is the main reason the best-case CPM of ₹110 is realistic.</t>
  </si>
  <si>
    <t xml:space="preserve">productgrowth.in, India Meta benchmarks 2026</t>
  </si>
  <si>
    <t xml:space="preserve">CTR, Meta global average</t>
  </si>
  <si>
    <t xml:space="preserve">~0.9%</t>
  </si>
  <si>
    <t xml:space="preserve">Above 1.2% means above-average creative. Below 0.8% on cold traffic points to a creative problem, not an audience problem.</t>
  </si>
  <si>
    <t xml:space="preserve">owlclaw.com / adlibrary.com, Meta benchmarks 2026</t>
  </si>
  <si>
    <t xml:space="preserve">Cost per lead, India education/edtech</t>
  </si>
  <si>
    <t xml:space="preserve">₹180–400</t>
  </si>
  <si>
    <t xml:space="preserve">Our cost per form submission should be compared against this. Ours will run higher because the form sits behind a visible ₹4,999 price rather than a free offer.</t>
  </si>
  <si>
    <t xml:space="preserve">upgrowth.in / paidmediaworld.com, India 2026</t>
  </si>
  <si>
    <t xml:space="preserve">CPC, India education campaigns</t>
  </si>
  <si>
    <t xml:space="preserve">₹8–15</t>
  </si>
  <si>
    <t xml:space="preserve">Useful cross-check. Our realistic case implies a CPC in this band, which suggests the assumptions are not wildly off.</t>
  </si>
  <si>
    <t xml:space="preserve">superads.ai / vgraple.com, India benchmarks</t>
  </si>
  <si>
    <t xml:space="preserve">NUMBERS THAT ARE JUDGEMENT, NOT DATA</t>
  </si>
  <si>
    <t xml:space="preserve">Three inputs in this model have no reliable published benchmark, because almost nobody runs cold paid traffic straight to a non-refundable ₹4,999 checkout. They are informed estimates and should be replaced with your own measurements as soon as week one data exists:</t>
  </si>
  <si>
    <t xml:space="preserve">•  Landing page view rate</t>
  </si>
  <si>
    <t xml:space="preserve">•  Form submission rate</t>
  </si>
  <si>
    <t xml:space="preserve">•  Payment completion rate</t>
  </si>
  <si>
    <t xml:space="preserve">Of the three, payment completion rate carries by far the most uncertainty and the most impact. If any single number in this workbook turns out to be wrong, it will be that one.</t>
  </si>
</sst>
</file>

<file path=xl/styles.xml><?xml version="1.0" encoding="utf-8"?>
<styleSheet xmlns="http://schemas.openxmlformats.org/spreadsheetml/2006/main">
  <numFmts count="7">
    <numFmt numFmtId="164" formatCode="General"/>
    <numFmt numFmtId="165" formatCode="\₹#,##0;&quot;(₹&quot;#,##0\);\-"/>
    <numFmt numFmtId="166" formatCode="#,##0;\(#,##0\);\-"/>
    <numFmt numFmtId="167" formatCode="#,##0.0;\(#,##0.0\);\-"/>
    <numFmt numFmtId="168" formatCode="0.00\x"/>
    <numFmt numFmtId="169" formatCode="0.00%"/>
    <numFmt numFmtId="170" formatCode="0.0%"/>
  </numFmts>
  <fonts count="22">
    <font>
      <sz val="11"/>
      <color theme="1"/>
      <name val="Calibri"/>
      <family val="2"/>
      <charset val="1"/>
    </font>
    <font>
      <sz val="10"/>
      <name val="Arial"/>
      <family val="0"/>
    </font>
    <font>
      <sz val="10"/>
      <name val="Arial"/>
      <family val="0"/>
    </font>
    <font>
      <sz val="10"/>
      <name val="Arial"/>
      <family val="0"/>
    </font>
    <font>
      <b val="true"/>
      <sz val="16"/>
      <color rgb="FF0A2A43"/>
      <name val="Arial"/>
      <family val="0"/>
      <charset val="1"/>
    </font>
    <font>
      <i val="true"/>
      <sz val="10"/>
      <color rgb="FF5A6B7B"/>
      <name val="Arial"/>
      <family val="0"/>
      <charset val="1"/>
    </font>
    <font>
      <b val="true"/>
      <sz val="10"/>
      <color rgb="FFFFFFFF"/>
      <name val="Arial"/>
      <family val="0"/>
      <charset val="1"/>
    </font>
    <font>
      <sz val="10"/>
      <color rgb="FF0F1B27"/>
      <name val="Arial"/>
      <family val="0"/>
      <charset val="1"/>
    </font>
    <font>
      <sz val="10"/>
      <color rgb="FF008000"/>
      <name val="Arial"/>
      <family val="0"/>
      <charset val="1"/>
    </font>
    <font>
      <b val="true"/>
      <sz val="10"/>
      <color rgb="FF0A2A43"/>
      <name val="Arial"/>
      <family val="0"/>
      <charset val="1"/>
    </font>
    <font>
      <b val="true"/>
      <sz val="11"/>
      <color rgb="FF008000"/>
      <name val="Arial"/>
      <family val="0"/>
      <charset val="1"/>
    </font>
    <font>
      <b val="true"/>
      <sz val="11"/>
      <color rgb="FF00589E"/>
      <name val="Arial"/>
      <family val="0"/>
      <charset val="1"/>
    </font>
    <font>
      <b val="true"/>
      <sz val="14"/>
      <color rgb="FF00589E"/>
      <name val="Arial"/>
      <family val="0"/>
      <charset val="1"/>
    </font>
    <font>
      <i val="true"/>
      <sz val="9"/>
      <color rgb="FF5A6B7B"/>
      <name val="Arial"/>
      <family val="0"/>
      <charset val="1"/>
    </font>
    <font>
      <sz val="10"/>
      <color rgb="FF0000FF"/>
      <name val="Arial"/>
      <family val="0"/>
      <charset val="1"/>
    </font>
    <font>
      <b val="true"/>
      <sz val="10"/>
      <name val="Arial"/>
      <family val="0"/>
      <charset val="1"/>
    </font>
    <font>
      <sz val="10"/>
      <name val="Arial"/>
      <family val="0"/>
      <charset val="1"/>
    </font>
    <font>
      <sz val="10"/>
      <color rgb="FF000000"/>
      <name val="Arial"/>
      <family val="0"/>
      <charset val="1"/>
    </font>
    <font>
      <b val="true"/>
      <sz val="9"/>
      <color rgb="FF5A6B7B"/>
      <name val="Arial"/>
      <family val="0"/>
      <charset val="1"/>
    </font>
    <font>
      <b val="true"/>
      <sz val="10"/>
      <color rgb="FF00589E"/>
      <name val="Arial"/>
      <family val="0"/>
      <charset val="1"/>
    </font>
    <font>
      <b val="true"/>
      <sz val="9"/>
      <name val="Arial"/>
      <family val="0"/>
      <charset val="1"/>
    </font>
    <font>
      <sz val="9"/>
      <name val="Arial"/>
      <family val="0"/>
      <charset val="1"/>
    </font>
  </fonts>
  <fills count="5">
    <fill>
      <patternFill patternType="none"/>
    </fill>
    <fill>
      <patternFill patternType="gray125"/>
    </fill>
    <fill>
      <patternFill patternType="solid">
        <fgColor rgb="FF0A2A43"/>
        <bgColor rgb="FF0F1B27"/>
      </patternFill>
    </fill>
    <fill>
      <patternFill patternType="solid">
        <fgColor rgb="FFE8F2FB"/>
        <bgColor rgb="FFDCE6EF"/>
      </patternFill>
    </fill>
    <fill>
      <patternFill patternType="solid">
        <fgColor rgb="FFFFFF00"/>
        <bgColor rgb="FFFFFF00"/>
      </patternFill>
    </fill>
  </fills>
  <borders count="2">
    <border diagonalUp="false" diagonalDown="false">
      <left/>
      <right/>
      <top/>
      <bottom/>
      <diagonal/>
    </border>
    <border diagonalUp="false" diagonalDown="false">
      <left style="thin">
        <color rgb="FFDCE6EF"/>
      </left>
      <right style="thin">
        <color rgb="FFDCE6EF"/>
      </right>
      <top style="thin">
        <color rgb="FFDCE6EF"/>
      </top>
      <bottom style="thin">
        <color rgb="FFDCE6E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2" fillId="3"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5" fontId="14" fillId="4"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6" fontId="14" fillId="4" borderId="1" xfId="0" applyFont="true" applyBorder="true" applyAlignment="false" applyProtection="false">
      <alignment horizontal="general" vertical="bottom" textRotation="0" wrapText="false" indent="0" shrinkToFit="false"/>
      <protection locked="true" hidden="false"/>
    </xf>
    <xf numFmtId="165" fontId="15" fillId="0"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9" fontId="14" fillId="4" borderId="1" xfId="0" applyFont="true" applyBorder="true" applyAlignment="false" applyProtection="false">
      <alignment horizontal="general" vertical="bottom" textRotation="0" wrapText="false" indent="0" shrinkToFit="false"/>
      <protection locked="true" hidden="false"/>
    </xf>
    <xf numFmtId="170" fontId="14" fillId="4" borderId="1" xfId="0" applyFont="true" applyBorder="true" applyAlignment="false" applyProtection="false">
      <alignment horizontal="general" vertical="bottom" textRotation="0" wrapText="false" indent="0" shrinkToFit="false"/>
      <protection locked="true" hidden="false"/>
    </xf>
    <xf numFmtId="165" fontId="16" fillId="0" borderId="1" xfId="0" applyFont="true" applyBorder="true" applyAlignment="false" applyProtection="false">
      <alignment horizontal="general" vertical="bottom" textRotation="0" wrapText="false" indent="0" shrinkToFit="false"/>
      <protection locked="true" hidden="false"/>
    </xf>
    <xf numFmtId="166" fontId="16" fillId="0" borderId="1" xfId="0" applyFont="true" applyBorder="true" applyAlignment="false" applyProtection="false">
      <alignment horizontal="general" vertical="bottom" textRotation="0" wrapText="false" indent="0" shrinkToFit="false"/>
      <protection locked="true" hidden="false"/>
    </xf>
    <xf numFmtId="167" fontId="16" fillId="0" borderId="1" xfId="0" applyFont="true" applyBorder="true" applyAlignment="false" applyProtection="false">
      <alignment horizontal="general" vertical="bottom" textRotation="0" wrapText="false" indent="0" shrinkToFit="false"/>
      <protection locked="true" hidden="false"/>
    </xf>
    <xf numFmtId="167" fontId="15" fillId="3"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5" fontId="15" fillId="3" borderId="1" xfId="0" applyFont="true" applyBorder="true" applyAlignment="false" applyProtection="false">
      <alignment horizontal="general" vertical="bottom" textRotation="0" wrapText="false" indent="0" shrinkToFit="false"/>
      <protection locked="true" hidden="false"/>
    </xf>
    <xf numFmtId="168" fontId="16" fillId="0" borderId="1" xfId="0" applyFont="true" applyBorder="true" applyAlignment="false" applyProtection="false">
      <alignment horizontal="general" vertical="bottom" textRotation="0" wrapText="false" indent="0" shrinkToFit="false"/>
      <protection locked="true" hidden="false"/>
    </xf>
    <xf numFmtId="165" fontId="17" fillId="0" borderId="1" xfId="0" applyFont="true" applyBorder="true" applyAlignment="false" applyProtection="false">
      <alignment horizontal="general" vertical="bottom" textRotation="0" wrapText="false" indent="0" shrinkToFit="false"/>
      <protection locked="true" hidden="false"/>
    </xf>
    <xf numFmtId="167" fontId="11" fillId="3" borderId="1" xfId="0" applyFont="true" applyBorder="true" applyAlignment="false" applyProtection="false">
      <alignment horizontal="general" vertical="bottom" textRotation="0" wrapText="false" indent="0" shrinkToFit="false"/>
      <protection locked="true" hidden="false"/>
    </xf>
    <xf numFmtId="166" fontId="11" fillId="3"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70" fontId="6" fillId="2" borderId="1" xfId="0" applyFont="true" applyBorder="true" applyAlignment="true" applyProtection="false">
      <alignment horizontal="center"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7" fontId="16"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2FB"/>
      <rgbColor rgb="FF660066"/>
      <rgbColor rgb="FFFF8080"/>
      <rgbColor rgb="FF00589E"/>
      <rgbColor rgb="FFCCCCFF"/>
      <rgbColor rgb="FF000080"/>
      <rgbColor rgb="FFFF00FF"/>
      <rgbColor rgb="FFFFFF00"/>
      <rgbColor rgb="FF00FFFF"/>
      <rgbColor rgb="FF800080"/>
      <rgbColor rgb="FF800000"/>
      <rgbColor rgb="FF008080"/>
      <rgbColor rgb="FF0000FF"/>
      <rgbColor rgb="FF00CCFF"/>
      <rgbColor rgb="FFDCE6EF"/>
      <rgbColor rgb="FFCCFFCC"/>
      <rgbColor rgb="FFFFFF99"/>
      <rgbColor rgb="FF99CCFF"/>
      <rgbColor rgb="FFFF99CC"/>
      <rgbColor rgb="FFCC99FF"/>
      <rgbColor rgb="FFFFCC99"/>
      <rgbColor rgb="FF3366FF"/>
      <rgbColor rgb="FF33CCCC"/>
      <rgbColor rgb="FF99CC00"/>
      <rgbColor rgb="FFFFCC00"/>
      <rgbColor rgb="FFFF9900"/>
      <rgbColor rgb="FFFF6600"/>
      <rgbColor rgb="FF5A6B7B"/>
      <rgbColor rgb="FF969696"/>
      <rgbColor rgb="FF0A2A43"/>
      <rgbColor rgb="FF339966"/>
      <rgbColor rgb="FF0F1B27"/>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4" min="2" style="0" width="18"/>
    <col collapsed="false" customWidth="true" hidden="false" outlineLevel="0" max="5" min="5" style="0" width="50"/>
  </cols>
  <sheetData>
    <row r="1" customFormat="false" ht="19.7" hidden="false" customHeight="false" outlineLevel="0" collapsed="false">
      <c r="A1" s="1" t="s">
        <v>0</v>
      </c>
    </row>
    <row r="2" customFormat="false" ht="15" hidden="false" customHeight="false" outlineLevel="0" collapsed="false">
      <c r="A2" s="2" t="s">
        <v>1</v>
      </c>
    </row>
    <row r="5" customFormat="false" ht="15" hidden="false" customHeight="false" outlineLevel="0" collapsed="false">
      <c r="A5" s="3"/>
      <c r="B5" s="3" t="s">
        <v>2</v>
      </c>
      <c r="C5" s="3" t="s">
        <v>3</v>
      </c>
      <c r="D5" s="3" t="s">
        <v>4</v>
      </c>
      <c r="E5" s="4"/>
    </row>
    <row r="6" customFormat="false" ht="19.5" hidden="false" customHeight="true" outlineLevel="0" collapsed="false">
      <c r="A6" s="5" t="s">
        <v>5</v>
      </c>
      <c r="B6" s="6" t="n">
        <f aca="false">Funnel!B9</f>
        <v>15000</v>
      </c>
      <c r="C6" s="6" t="n">
        <f aca="false">Funnel!C9</f>
        <v>15000</v>
      </c>
      <c r="D6" s="6" t="n">
        <f aca="false">Funnel!D9</f>
        <v>15000</v>
      </c>
    </row>
    <row r="7" customFormat="false" ht="19.5" hidden="false" customHeight="true" outlineLevel="0" collapsed="false">
      <c r="A7" s="5" t="s">
        <v>6</v>
      </c>
      <c r="B7" s="7" t="n">
        <f aca="false">Funnel!B10</f>
        <v>57692.3076923077</v>
      </c>
      <c r="C7" s="7" t="n">
        <f aca="false">Funnel!C10</f>
        <v>93750</v>
      </c>
      <c r="D7" s="7" t="n">
        <f aca="false">Funnel!D10</f>
        <v>136363.636363636</v>
      </c>
    </row>
    <row r="8" customFormat="false" ht="19.5" hidden="false" customHeight="true" outlineLevel="0" collapsed="false">
      <c r="A8" s="5" t="s">
        <v>7</v>
      </c>
      <c r="B8" s="7" t="n">
        <f aca="false">Funnel!B11</f>
        <v>403.846153846154</v>
      </c>
      <c r="C8" s="7" t="n">
        <f aca="false">Funnel!C11</f>
        <v>1125</v>
      </c>
      <c r="D8" s="7" t="n">
        <f aca="false">Funnel!D11</f>
        <v>2181.81818181818</v>
      </c>
    </row>
    <row r="9" customFormat="false" ht="19.5" hidden="false" customHeight="true" outlineLevel="0" collapsed="false">
      <c r="A9" s="5" t="s">
        <v>8</v>
      </c>
      <c r="B9" s="8" t="n">
        <f aca="false">Funnel!B13</f>
        <v>4.84615384615385</v>
      </c>
      <c r="C9" s="8" t="n">
        <f aca="false">Funnel!C13</f>
        <v>32.4</v>
      </c>
      <c r="D9" s="8" t="n">
        <f aca="false">Funnel!D13</f>
        <v>87.2727272727273</v>
      </c>
    </row>
    <row r="10" customFormat="false" ht="19.5" hidden="false" customHeight="true" outlineLevel="0" collapsed="false">
      <c r="A10" s="9" t="s">
        <v>9</v>
      </c>
      <c r="B10" s="10" t="n">
        <f aca="false">Funnel!B14</f>
        <v>0.339230769230769</v>
      </c>
      <c r="C10" s="10" t="n">
        <f aca="false">Funnel!C14</f>
        <v>5.184</v>
      </c>
      <c r="D10" s="10" t="n">
        <f aca="false">Funnel!D14</f>
        <v>19.2</v>
      </c>
    </row>
    <row r="11" customFormat="false" ht="19.5" hidden="false" customHeight="true" outlineLevel="0" collapsed="false">
      <c r="A11" s="9" t="s">
        <v>10</v>
      </c>
      <c r="B11" s="11" t="n">
        <f aca="false">Funnel!B18</f>
        <v>1695.81461538462</v>
      </c>
      <c r="C11" s="11" t="n">
        <f aca="false">Funnel!C18</f>
        <v>25914.816</v>
      </c>
      <c r="D11" s="11" t="n">
        <f aca="false">Funnel!D18</f>
        <v>95980.8</v>
      </c>
    </row>
    <row r="12" customFormat="false" ht="19.5" hidden="false" customHeight="true" outlineLevel="0" collapsed="false">
      <c r="A12" s="9" t="s">
        <v>11</v>
      </c>
      <c r="B12" s="11" t="n">
        <f aca="false">Funnel!B20</f>
        <v>-13304.1853846154</v>
      </c>
      <c r="C12" s="11" t="n">
        <f aca="false">Funnel!C20</f>
        <v>10914.816</v>
      </c>
      <c r="D12" s="11" t="n">
        <f aca="false">Funnel!D20</f>
        <v>80980.8</v>
      </c>
    </row>
    <row r="13" customFormat="false" ht="19.5" hidden="false" customHeight="true" outlineLevel="0" collapsed="false">
      <c r="A13" s="5" t="s">
        <v>12</v>
      </c>
      <c r="B13" s="12" t="n">
        <f aca="false">Funnel!B21</f>
        <v>0.113054307692308</v>
      </c>
      <c r="C13" s="12" t="n">
        <f aca="false">Funnel!C21</f>
        <v>1.7276544</v>
      </c>
      <c r="D13" s="12" t="n">
        <f aca="false">Funnel!D21</f>
        <v>6.39872</v>
      </c>
    </row>
    <row r="14" customFormat="false" ht="19.5" hidden="false" customHeight="true" outlineLevel="0" collapsed="false">
      <c r="A14" s="5" t="s">
        <v>13</v>
      </c>
      <c r="B14" s="6" t="n">
        <f aca="false">Funnel!B22</f>
        <v>44217.6870748299</v>
      </c>
      <c r="C14" s="6" t="n">
        <f aca="false">Funnel!C22</f>
        <v>2893.51851851852</v>
      </c>
      <c r="D14" s="6" t="n">
        <f aca="false">Funnel!D22</f>
        <v>781.25</v>
      </c>
    </row>
    <row r="17" customFormat="false" ht="15" hidden="false" customHeight="false" outlineLevel="0" collapsed="false">
      <c r="A17" s="13" t="s">
        <v>14</v>
      </c>
    </row>
    <row r="18" customFormat="false" ht="17.35" hidden="false" customHeight="false" outlineLevel="0" collapsed="false">
      <c r="A18" s="5" t="s">
        <v>15</v>
      </c>
      <c r="B18" s="14" t="n">
        <f aca="false">BreakEven!B8</f>
        <v>4</v>
      </c>
    </row>
    <row r="19" customFormat="false" ht="31.5" hidden="false" customHeight="true" outlineLevel="0" collapsed="false">
      <c r="A19" s="15" t="s">
        <v>16</v>
      </c>
      <c r="B19" s="15"/>
      <c r="C19" s="15"/>
      <c r="D19" s="15"/>
      <c r="E19" s="15"/>
    </row>
    <row r="22" customFormat="false" ht="15" hidden="false" customHeight="false" outlineLevel="0" collapsed="false">
      <c r="A22" s="13" t="s">
        <v>17</v>
      </c>
    </row>
    <row r="23" customFormat="false" ht="15" hidden="false" customHeight="false" outlineLevel="0" collapsed="false">
      <c r="A23" s="16" t="s">
        <v>18</v>
      </c>
      <c r="B23" s="16"/>
      <c r="C23" s="16"/>
      <c r="D23" s="16"/>
      <c r="E23" s="16"/>
    </row>
    <row r="24" customFormat="false" ht="27.75" hidden="false" customHeight="true" outlineLevel="0" collapsed="false">
      <c r="A24" s="15" t="s">
        <v>19</v>
      </c>
      <c r="B24" s="15"/>
      <c r="C24" s="15"/>
      <c r="D24" s="15"/>
      <c r="E24" s="15"/>
    </row>
    <row r="26" customFormat="false" ht="15" hidden="false" customHeight="false" outlineLevel="0" collapsed="false">
      <c r="A26" s="16" t="s">
        <v>20</v>
      </c>
      <c r="B26" s="16"/>
      <c r="C26" s="16"/>
      <c r="D26" s="16"/>
      <c r="E26" s="16"/>
    </row>
    <row r="27" customFormat="false" ht="27.75" hidden="false" customHeight="true" outlineLevel="0" collapsed="false">
      <c r="A27" s="15" t="s">
        <v>21</v>
      </c>
      <c r="B27" s="15"/>
      <c r="C27" s="15"/>
      <c r="D27" s="15"/>
      <c r="E27" s="15"/>
    </row>
    <row r="29" customFormat="false" ht="15" hidden="false" customHeight="false" outlineLevel="0" collapsed="false">
      <c r="A29" s="16" t="s">
        <v>22</v>
      </c>
      <c r="B29" s="16"/>
      <c r="C29" s="16"/>
      <c r="D29" s="16"/>
      <c r="E29" s="16"/>
    </row>
    <row r="30" customFormat="false" ht="27.75" hidden="false" customHeight="true" outlineLevel="0" collapsed="false">
      <c r="A30" s="15" t="s">
        <v>23</v>
      </c>
      <c r="B30" s="15"/>
      <c r="C30" s="15"/>
      <c r="D30" s="15"/>
      <c r="E30" s="15"/>
    </row>
    <row r="32" customFormat="false" ht="15" hidden="false" customHeight="false" outlineLevel="0" collapsed="false">
      <c r="A32" s="16" t="s">
        <v>24</v>
      </c>
      <c r="B32" s="16"/>
      <c r="C32" s="16"/>
      <c r="D32" s="16"/>
      <c r="E32" s="16"/>
    </row>
    <row r="33" customFormat="false" ht="27.75" hidden="false" customHeight="true" outlineLevel="0" collapsed="false">
      <c r="A33" s="15" t="s">
        <v>25</v>
      </c>
      <c r="B33" s="15"/>
      <c r="C33" s="15"/>
      <c r="D33" s="15"/>
      <c r="E33" s="15"/>
    </row>
    <row r="35" customFormat="false" ht="15" hidden="false" customHeight="false" outlineLevel="0" collapsed="false">
      <c r="A35" s="16" t="s">
        <v>26</v>
      </c>
      <c r="B35" s="16"/>
      <c r="C35" s="16"/>
      <c r="D35" s="16"/>
      <c r="E35" s="16"/>
    </row>
    <row r="36" customFormat="false" ht="27.75" hidden="false" customHeight="true" outlineLevel="0" collapsed="false">
      <c r="A36" s="15" t="s">
        <v>27</v>
      </c>
      <c r="B36" s="15"/>
      <c r="C36" s="15"/>
      <c r="D36" s="15"/>
      <c r="E36" s="15"/>
    </row>
    <row r="38" customFormat="false" ht="15" hidden="false" customHeight="false" outlineLevel="0" collapsed="false">
      <c r="A38" s="16" t="s">
        <v>28</v>
      </c>
      <c r="B38" s="16"/>
      <c r="C38" s="16"/>
      <c r="D38" s="16"/>
      <c r="E38" s="16"/>
    </row>
    <row r="39" customFormat="false" ht="27.75" hidden="false" customHeight="true" outlineLevel="0" collapsed="false">
      <c r="A39" s="15" t="s">
        <v>29</v>
      </c>
      <c r="B39" s="15"/>
      <c r="C39" s="15"/>
      <c r="D39" s="15"/>
      <c r="E39" s="15"/>
    </row>
    <row r="41" customFormat="false" ht="15" hidden="false" customHeight="false" outlineLevel="0" collapsed="false">
      <c r="A41" s="16" t="s">
        <v>30</v>
      </c>
      <c r="B41" s="16"/>
      <c r="C41" s="16"/>
      <c r="D41" s="16"/>
      <c r="E41" s="16"/>
    </row>
    <row r="42" customFormat="false" ht="27.75" hidden="false" customHeight="true" outlineLevel="0" collapsed="false">
      <c r="A42" s="15" t="s">
        <v>31</v>
      </c>
      <c r="B42" s="15"/>
      <c r="C42" s="15"/>
      <c r="D42" s="15"/>
      <c r="E42" s="15"/>
    </row>
    <row r="45" customFormat="false" ht="15" hidden="false" customHeight="false" outlineLevel="0" collapsed="false">
      <c r="A45" s="13" t="s">
        <v>32</v>
      </c>
    </row>
    <row r="46" customFormat="false" ht="27.75" hidden="false" customHeight="true" outlineLevel="0" collapsed="false">
      <c r="A46" s="15" t="s">
        <v>33</v>
      </c>
      <c r="B46" s="15"/>
      <c r="C46" s="15"/>
      <c r="D46" s="15"/>
      <c r="E46" s="15"/>
    </row>
  </sheetData>
  <mergeCells count="16">
    <mergeCell ref="A19:E19"/>
    <mergeCell ref="A23:E23"/>
    <mergeCell ref="A24:E24"/>
    <mergeCell ref="A26:E26"/>
    <mergeCell ref="A27:E27"/>
    <mergeCell ref="A29:E29"/>
    <mergeCell ref="A30:E30"/>
    <mergeCell ref="A32:E32"/>
    <mergeCell ref="A33:E33"/>
    <mergeCell ref="A35:E35"/>
    <mergeCell ref="A36:E36"/>
    <mergeCell ref="A38:E38"/>
    <mergeCell ref="A39:E39"/>
    <mergeCell ref="A41:E41"/>
    <mergeCell ref="A42:E42"/>
    <mergeCell ref="A46:E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4" min="2" style="0" width="15"/>
    <col collapsed="false" customWidth="true" hidden="false" outlineLevel="0" max="5" min="5" style="0" width="62"/>
  </cols>
  <sheetData>
    <row r="1" customFormat="false" ht="19.7" hidden="false" customHeight="false" outlineLevel="0" collapsed="false">
      <c r="A1" s="1" t="s">
        <v>34</v>
      </c>
    </row>
    <row r="2" customFormat="false" ht="15" hidden="false" customHeight="false" outlineLevel="0" collapsed="false">
      <c r="A2" s="2" t="s">
        <v>35</v>
      </c>
    </row>
    <row r="4" customFormat="false" ht="15" hidden="false" customHeight="false" outlineLevel="0" collapsed="false">
      <c r="A4" s="13" t="s">
        <v>36</v>
      </c>
    </row>
    <row r="5" customFormat="false" ht="15" hidden="false" customHeight="false" outlineLevel="0" collapsed="false">
      <c r="A5" s="5" t="s">
        <v>37</v>
      </c>
      <c r="B5" s="17" t="n">
        <v>500</v>
      </c>
      <c r="E5" s="18" t="s">
        <v>38</v>
      </c>
    </row>
    <row r="6" customFormat="false" ht="15" hidden="false" customHeight="false" outlineLevel="0" collapsed="false">
      <c r="A6" s="5" t="s">
        <v>39</v>
      </c>
      <c r="B6" s="19" t="n">
        <v>30</v>
      </c>
      <c r="E6" s="18" t="s">
        <v>40</v>
      </c>
    </row>
    <row r="7" customFormat="false" ht="15" hidden="false" customHeight="false" outlineLevel="0" collapsed="false">
      <c r="A7" s="5" t="s">
        <v>41</v>
      </c>
      <c r="B7" s="17" t="n">
        <v>4999</v>
      </c>
      <c r="E7" s="18" t="s">
        <v>42</v>
      </c>
    </row>
    <row r="8" customFormat="false" ht="15" hidden="false" customHeight="false" outlineLevel="0" collapsed="false">
      <c r="A8" s="5" t="s">
        <v>43</v>
      </c>
      <c r="B8" s="17" t="n">
        <v>29999</v>
      </c>
      <c r="E8" s="18" t="s">
        <v>44</v>
      </c>
    </row>
    <row r="9" customFormat="false" ht="15" hidden="false" customHeight="false" outlineLevel="0" collapsed="false">
      <c r="A9" s="9" t="s">
        <v>45</v>
      </c>
      <c r="B9" s="20" t="n">
        <f aca="false">B5*B6</f>
        <v>15000</v>
      </c>
      <c r="E9" s="18" t="s">
        <v>46</v>
      </c>
    </row>
    <row r="12" customFormat="false" ht="15" hidden="false" customHeight="false" outlineLevel="0" collapsed="false">
      <c r="A12" s="13" t="s">
        <v>47</v>
      </c>
    </row>
    <row r="13" customFormat="false" ht="22.35" hidden="false" customHeight="false" outlineLevel="0" collapsed="false">
      <c r="A13" s="18" t="s">
        <v>48</v>
      </c>
    </row>
    <row r="15" customFormat="false" ht="15" hidden="false" customHeight="false" outlineLevel="0" collapsed="false">
      <c r="A15" s="3" t="s">
        <v>49</v>
      </c>
      <c r="B15" s="3" t="s">
        <v>2</v>
      </c>
      <c r="C15" s="3" t="s">
        <v>3</v>
      </c>
      <c r="D15" s="3" t="s">
        <v>4</v>
      </c>
      <c r="E15" s="21" t="s">
        <v>50</v>
      </c>
    </row>
    <row r="16" customFormat="false" ht="45.75" hidden="false" customHeight="true" outlineLevel="0" collapsed="false">
      <c r="A16" s="5" t="s">
        <v>51</v>
      </c>
      <c r="B16" s="17" t="n">
        <v>260</v>
      </c>
      <c r="C16" s="17" t="n">
        <v>160</v>
      </c>
      <c r="D16" s="17" t="n">
        <v>110</v>
      </c>
      <c r="E16" s="18" t="s">
        <v>52</v>
      </c>
    </row>
    <row r="17" customFormat="false" ht="45.75" hidden="false" customHeight="true" outlineLevel="0" collapsed="false">
      <c r="A17" s="5" t="s">
        <v>53</v>
      </c>
      <c r="B17" s="22" t="n">
        <v>0.007</v>
      </c>
      <c r="C17" s="22" t="n">
        <v>0.012</v>
      </c>
      <c r="D17" s="22" t="n">
        <v>0.016</v>
      </c>
      <c r="E17" s="18" t="s">
        <v>54</v>
      </c>
    </row>
    <row r="18" customFormat="false" ht="45.75" hidden="false" customHeight="true" outlineLevel="0" collapsed="false">
      <c r="A18" s="5" t="s">
        <v>55</v>
      </c>
      <c r="B18" s="23" t="n">
        <v>0.6</v>
      </c>
      <c r="C18" s="23" t="n">
        <v>0.72</v>
      </c>
      <c r="D18" s="23" t="n">
        <v>0.8</v>
      </c>
      <c r="E18" s="18" t="s">
        <v>56</v>
      </c>
    </row>
    <row r="19" customFormat="false" ht="45.75" hidden="false" customHeight="true" outlineLevel="0" collapsed="false">
      <c r="A19" s="5" t="s">
        <v>57</v>
      </c>
      <c r="B19" s="23" t="n">
        <v>0.02</v>
      </c>
      <c r="C19" s="23" t="n">
        <v>0.04</v>
      </c>
      <c r="D19" s="23" t="n">
        <v>0.05</v>
      </c>
      <c r="E19" s="18" t="s">
        <v>58</v>
      </c>
    </row>
    <row r="20" customFormat="false" ht="45.75" hidden="false" customHeight="true" outlineLevel="0" collapsed="false">
      <c r="A20" s="5" t="s">
        <v>59</v>
      </c>
      <c r="B20" s="23" t="n">
        <v>0.07</v>
      </c>
      <c r="C20" s="23" t="n">
        <v>0.16</v>
      </c>
      <c r="D20" s="23" t="n">
        <v>0.22</v>
      </c>
      <c r="E20" s="18" t="s">
        <v>60</v>
      </c>
    </row>
    <row r="23" customFormat="false" ht="15" hidden="false" customHeight="false" outlineLevel="0" collapsed="false">
      <c r="A23" s="13" t="s">
        <v>61</v>
      </c>
    </row>
    <row r="24" customFormat="false" ht="25.5" hidden="false" customHeight="true" outlineLevel="0" collapsed="false">
      <c r="A24" s="15" t="s">
        <v>62</v>
      </c>
      <c r="B24" s="15"/>
      <c r="C24" s="15"/>
      <c r="D24" s="15"/>
      <c r="E24" s="15"/>
    </row>
    <row r="25" customFormat="false" ht="25.5" hidden="false" customHeight="true" outlineLevel="0" collapsed="false">
      <c r="A25" s="15" t="s">
        <v>63</v>
      </c>
      <c r="B25" s="15"/>
      <c r="C25" s="15"/>
      <c r="D25" s="15"/>
      <c r="E25" s="15"/>
    </row>
    <row r="26" customFormat="false" ht="25.5" hidden="false" customHeight="true" outlineLevel="0" collapsed="false">
      <c r="A26" s="15" t="s">
        <v>64</v>
      </c>
      <c r="B26" s="15"/>
      <c r="C26" s="15"/>
      <c r="D26" s="15"/>
      <c r="E26" s="15"/>
    </row>
    <row r="27" customFormat="false" ht="25.5" hidden="false" customHeight="true" outlineLevel="0" collapsed="false">
      <c r="A27" s="15" t="s">
        <v>65</v>
      </c>
      <c r="B27" s="15"/>
      <c r="C27" s="15"/>
      <c r="D27" s="15"/>
      <c r="E27" s="15"/>
    </row>
  </sheetData>
  <mergeCells count="4">
    <mergeCell ref="A24:E24"/>
    <mergeCell ref="A25:E25"/>
    <mergeCell ref="A26:E26"/>
    <mergeCell ref="A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4" min="2" style="0" width="16"/>
    <col collapsed="false" customWidth="true" hidden="false" outlineLevel="0" max="5" min="5" style="0" width="56"/>
  </cols>
  <sheetData>
    <row r="1" customFormat="false" ht="19.7" hidden="false" customHeight="false" outlineLevel="0" collapsed="false">
      <c r="A1" s="1" t="s">
        <v>66</v>
      </c>
    </row>
    <row r="2" customFormat="false" ht="15" hidden="false" customHeight="false" outlineLevel="0" collapsed="false">
      <c r="A2" s="2" t="s">
        <v>67</v>
      </c>
    </row>
    <row r="5" customFormat="false" ht="15" hidden="false" customHeight="false" outlineLevel="0" collapsed="false">
      <c r="A5" s="3" t="s">
        <v>68</v>
      </c>
      <c r="B5" s="3" t="s">
        <v>2</v>
      </c>
      <c r="C5" s="3" t="s">
        <v>3</v>
      </c>
      <c r="D5" s="3" t="s">
        <v>4</v>
      </c>
      <c r="E5" s="21" t="s">
        <v>69</v>
      </c>
    </row>
    <row r="9" customFormat="false" ht="25.5" hidden="false" customHeight="true" outlineLevel="0" collapsed="false">
      <c r="A9" s="5" t="s">
        <v>5</v>
      </c>
      <c r="B9" s="24" t="n">
        <f aca="false">Assumptions!$B$9</f>
        <v>15000</v>
      </c>
      <c r="C9" s="24" t="n">
        <f aca="false">Assumptions!$B$9</f>
        <v>15000</v>
      </c>
      <c r="D9" s="24" t="n">
        <f aca="false">Assumptions!$B$9</f>
        <v>15000</v>
      </c>
      <c r="E9" s="18" t="s">
        <v>70</v>
      </c>
    </row>
    <row r="10" customFormat="false" ht="25.5" hidden="false" customHeight="true" outlineLevel="0" collapsed="false">
      <c r="A10" s="5" t="s">
        <v>71</v>
      </c>
      <c r="B10" s="25" t="n">
        <f aca="false">B9/Assumptions!B16*1000</f>
        <v>57692.3076923077</v>
      </c>
      <c r="C10" s="25" t="n">
        <f aca="false">C9/Assumptions!C16*1000</f>
        <v>93750</v>
      </c>
      <c r="D10" s="25" t="n">
        <f aca="false">D9/Assumptions!D16*1000</f>
        <v>136363.636363636</v>
      </c>
      <c r="E10" s="18" t="s">
        <v>72</v>
      </c>
    </row>
    <row r="11" customFormat="false" ht="25.5" hidden="false" customHeight="true" outlineLevel="0" collapsed="false">
      <c r="A11" s="5" t="s">
        <v>73</v>
      </c>
      <c r="B11" s="25" t="n">
        <f aca="false">B10*Assumptions!B17</f>
        <v>403.846153846154</v>
      </c>
      <c r="C11" s="25" t="n">
        <f aca="false">C10*Assumptions!C17</f>
        <v>1125</v>
      </c>
      <c r="D11" s="25" t="n">
        <f aca="false">D10*Assumptions!D17</f>
        <v>2181.81818181818</v>
      </c>
      <c r="E11" s="18" t="s">
        <v>74</v>
      </c>
    </row>
    <row r="12" customFormat="false" ht="25.5" hidden="false" customHeight="true" outlineLevel="0" collapsed="false">
      <c r="A12" s="5" t="s">
        <v>75</v>
      </c>
      <c r="B12" s="25" t="n">
        <f aca="false">B11*Assumptions!B18</f>
        <v>242.307692307692</v>
      </c>
      <c r="C12" s="25" t="n">
        <f aca="false">C11*Assumptions!C18</f>
        <v>810</v>
      </c>
      <c r="D12" s="25" t="n">
        <f aca="false">D11*Assumptions!D18</f>
        <v>1745.45454545455</v>
      </c>
      <c r="E12" s="18" t="s">
        <v>76</v>
      </c>
    </row>
    <row r="13" customFormat="false" ht="25.5" hidden="false" customHeight="true" outlineLevel="0" collapsed="false">
      <c r="A13" s="5" t="s">
        <v>8</v>
      </c>
      <c r="B13" s="26" t="n">
        <f aca="false">B12*Assumptions!B19</f>
        <v>4.84615384615385</v>
      </c>
      <c r="C13" s="26" t="n">
        <f aca="false">C12*Assumptions!C19</f>
        <v>32.4</v>
      </c>
      <c r="D13" s="26" t="n">
        <f aca="false">D12*Assumptions!D19</f>
        <v>87.2727272727273</v>
      </c>
      <c r="E13" s="18" t="s">
        <v>77</v>
      </c>
    </row>
    <row r="14" customFormat="false" ht="25.5" hidden="false" customHeight="true" outlineLevel="0" collapsed="false">
      <c r="A14" s="9" t="s">
        <v>78</v>
      </c>
      <c r="B14" s="27" t="n">
        <f aca="false">B13*Assumptions!B20</f>
        <v>0.339230769230769</v>
      </c>
      <c r="C14" s="27" t="n">
        <f aca="false">C13*Assumptions!C20</f>
        <v>5.184</v>
      </c>
      <c r="D14" s="27" t="n">
        <f aca="false">D13*Assumptions!D20</f>
        <v>19.2</v>
      </c>
      <c r="E14" s="18" t="s">
        <v>79</v>
      </c>
    </row>
    <row r="16" customFormat="false" ht="15" hidden="false" customHeight="false" outlineLevel="0" collapsed="false">
      <c r="A16" s="13" t="s">
        <v>80</v>
      </c>
    </row>
    <row r="17" customFormat="false" ht="15" hidden="false" customHeight="false" outlineLevel="0" collapsed="false">
      <c r="A17" s="3"/>
      <c r="B17" s="3" t="s">
        <v>2</v>
      </c>
      <c r="C17" s="3" t="s">
        <v>3</v>
      </c>
      <c r="D17" s="3" t="s">
        <v>4</v>
      </c>
      <c r="E17" s="28" t="s">
        <v>81</v>
      </c>
    </row>
    <row r="18" customFormat="false" ht="27.75" hidden="false" customHeight="true" outlineLevel="0" collapsed="false">
      <c r="A18" s="5" t="s">
        <v>10</v>
      </c>
      <c r="B18" s="24" t="n">
        <f aca="false">B14*Assumptions!$B$7</f>
        <v>1695.81461538462</v>
      </c>
      <c r="C18" s="24" t="n">
        <f aca="false">C14*Assumptions!$B$7</f>
        <v>25914.816</v>
      </c>
      <c r="D18" s="24" t="n">
        <f aca="false">D14*Assumptions!$B$7</f>
        <v>95980.8</v>
      </c>
      <c r="E18" s="18" t="s">
        <v>82</v>
      </c>
    </row>
    <row r="19" customFormat="false" ht="27.75" hidden="false" customHeight="true" outlineLevel="0" collapsed="false">
      <c r="A19" s="5" t="s">
        <v>5</v>
      </c>
      <c r="B19" s="24" t="n">
        <f aca="false">-Assumptions!$B$9</f>
        <v>-15000</v>
      </c>
      <c r="C19" s="24" t="n">
        <f aca="false">-Assumptions!$B$9</f>
        <v>-15000</v>
      </c>
      <c r="D19" s="24" t="n">
        <f aca="false">-Assumptions!$B$9</f>
        <v>-15000</v>
      </c>
    </row>
    <row r="20" customFormat="false" ht="27.75" hidden="false" customHeight="true" outlineLevel="0" collapsed="false">
      <c r="A20" s="9" t="s">
        <v>11</v>
      </c>
      <c r="B20" s="29" t="n">
        <f aca="false">B18+B19</f>
        <v>-13304.1853846154</v>
      </c>
      <c r="C20" s="29" t="n">
        <f aca="false">C18+C19</f>
        <v>10914.816</v>
      </c>
      <c r="D20" s="29" t="n">
        <f aca="false">D18+D19</f>
        <v>80980.8</v>
      </c>
      <c r="E20" s="18" t="s">
        <v>83</v>
      </c>
    </row>
    <row r="21" customFormat="false" ht="27.75" hidden="false" customHeight="true" outlineLevel="0" collapsed="false">
      <c r="A21" s="5" t="s">
        <v>84</v>
      </c>
      <c r="B21" s="30" t="n">
        <f aca="false">IF(Assumptions!$B$9=0,0,B18/Assumptions!$B$9)</f>
        <v>0.113054307692308</v>
      </c>
      <c r="C21" s="30" t="n">
        <f aca="false">IF(Assumptions!$B$9=0,0,C18/Assumptions!$B$9)</f>
        <v>1.7276544</v>
      </c>
      <c r="D21" s="30" t="n">
        <f aca="false">IF(Assumptions!$B$9=0,0,D18/Assumptions!$B$9)</f>
        <v>6.39872</v>
      </c>
      <c r="E21" s="18" t="s">
        <v>85</v>
      </c>
    </row>
    <row r="22" customFormat="false" ht="27.75" hidden="false" customHeight="true" outlineLevel="0" collapsed="false">
      <c r="A22" s="9" t="s">
        <v>86</v>
      </c>
      <c r="B22" s="29" t="n">
        <f aca="false">IF(B14=0,0,Assumptions!$B$9/B14)</f>
        <v>44217.6870748299</v>
      </c>
      <c r="C22" s="29" t="n">
        <f aca="false">IF(C14=0,0,Assumptions!$B$9/C14)</f>
        <v>2893.51851851852</v>
      </c>
      <c r="D22" s="29" t="n">
        <f aca="false">IF(D14=0,0,Assumptions!$B$9/D14)</f>
        <v>781.25</v>
      </c>
      <c r="E22" s="18" t="s">
        <v>87</v>
      </c>
    </row>
    <row r="23" customFormat="false" ht="27.75" hidden="false" customHeight="true" outlineLevel="0" collapsed="false">
      <c r="A23" s="5" t="s">
        <v>88</v>
      </c>
      <c r="B23" s="24" t="n">
        <f aca="false">IF(B13=0,0,Assumptions!$B$9/B13)</f>
        <v>3095.2380952381</v>
      </c>
      <c r="C23" s="24" t="n">
        <f aca="false">IF(C13=0,0,Assumptions!$B$9/C13)</f>
        <v>462.962962962963</v>
      </c>
      <c r="D23" s="24" t="n">
        <f aca="false">IF(D13=0,0,Assumptions!$B$9/D13)</f>
        <v>171.875</v>
      </c>
      <c r="E23" s="18"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7" min="2" style="0" width="15"/>
    <col collapsed="false" customWidth="true" hidden="false" outlineLevel="0" max="8" min="8" style="0" width="46"/>
  </cols>
  <sheetData>
    <row r="1" customFormat="false" ht="19.7" hidden="false" customHeight="false" outlineLevel="0" collapsed="false">
      <c r="A1" s="1" t="s">
        <v>90</v>
      </c>
    </row>
    <row r="2" customFormat="false" ht="15" hidden="false" customHeight="false" outlineLevel="0" collapsed="false">
      <c r="A2" s="2" t="s">
        <v>91</v>
      </c>
    </row>
    <row r="4" customFormat="false" ht="15" hidden="false" customHeight="false" outlineLevel="0" collapsed="false">
      <c r="A4" s="13" t="s">
        <v>92</v>
      </c>
    </row>
    <row r="5" customFormat="false" ht="15" hidden="false" customHeight="false" outlineLevel="0" collapsed="false">
      <c r="A5" s="5" t="s">
        <v>45</v>
      </c>
      <c r="B5" s="31" t="n">
        <f aca="false">Assumptions!$B$9</f>
        <v>15000</v>
      </c>
    </row>
    <row r="6" customFormat="false" ht="15" hidden="false" customHeight="false" outlineLevel="0" collapsed="false">
      <c r="A6" s="5" t="s">
        <v>41</v>
      </c>
      <c r="B6" s="31" t="n">
        <f aca="false">Assumptions!$B$7</f>
        <v>4999</v>
      </c>
    </row>
    <row r="7" customFormat="false" ht="15" hidden="false" customHeight="false" outlineLevel="0" collapsed="false">
      <c r="A7" s="9" t="s">
        <v>93</v>
      </c>
      <c r="B7" s="32" t="n">
        <f aca="false">B5/B6</f>
        <v>3.00060012002401</v>
      </c>
    </row>
    <row r="8" customFormat="false" ht="15" hidden="false" customHeight="false" outlineLevel="0" collapsed="false">
      <c r="A8" s="9" t="s">
        <v>94</v>
      </c>
      <c r="B8" s="33" t="n">
        <f aca="false">ROUNDUP(B7,0)</f>
        <v>4</v>
      </c>
    </row>
    <row r="10" customFormat="false" ht="15" hidden="false" customHeight="true" outlineLevel="0" collapsed="false">
      <c r="A10" s="15" t="s">
        <v>95</v>
      </c>
      <c r="B10" s="15"/>
      <c r="C10" s="15"/>
      <c r="D10" s="15"/>
      <c r="E10" s="15"/>
      <c r="F10" s="15"/>
      <c r="G10" s="15"/>
      <c r="H10" s="15"/>
    </row>
    <row r="13" customFormat="false" ht="15" hidden="false" customHeight="false" outlineLevel="0" collapsed="false">
      <c r="A13" s="13" t="s">
        <v>96</v>
      </c>
    </row>
    <row r="14" customFormat="false" ht="25.5" hidden="false" customHeight="true" outlineLevel="0" collapsed="false">
      <c r="A14" s="15" t="s">
        <v>97</v>
      </c>
      <c r="B14" s="15"/>
      <c r="C14" s="15"/>
      <c r="D14" s="15"/>
      <c r="E14" s="15"/>
      <c r="F14" s="15"/>
      <c r="G14" s="15"/>
      <c r="H14" s="15"/>
    </row>
    <row r="16" customFormat="false" ht="15" hidden="false" customHeight="false" outlineLevel="0" collapsed="false">
      <c r="A16" s="34" t="s">
        <v>98</v>
      </c>
      <c r="B16" s="35" t="n">
        <v>0.06</v>
      </c>
      <c r="C16" s="35" t="n">
        <v>0.1</v>
      </c>
      <c r="D16" s="35" t="n">
        <v>0.14</v>
      </c>
      <c r="E16" s="35" t="n">
        <v>0.18</v>
      </c>
      <c r="F16" s="35" t="n">
        <v>0.22</v>
      </c>
      <c r="G16" s="35" t="n">
        <v>0.26</v>
      </c>
    </row>
    <row r="17" customFormat="false" ht="15" hidden="false" customHeight="false" outlineLevel="0" collapsed="false">
      <c r="A17" s="36" t="n">
        <v>0.006</v>
      </c>
      <c r="B17" s="37" t="n">
        <f aca="false">Assumptions!$B$9/Assumptions!$C$16*1000*$A17*Assumptions!$C$18*Assumptions!$C$19*B$16</f>
        <v>0.972</v>
      </c>
      <c r="C17" s="37" t="n">
        <f aca="false">Assumptions!$B$9/Assumptions!$C$16*1000*$A17*Assumptions!$C$18*Assumptions!$C$19*C$16</f>
        <v>1.62</v>
      </c>
      <c r="D17" s="37" t="n">
        <f aca="false">Assumptions!$B$9/Assumptions!$C$16*1000*$A17*Assumptions!$C$18*Assumptions!$C$19*D$16</f>
        <v>2.268</v>
      </c>
      <c r="E17" s="37" t="n">
        <f aca="false">Assumptions!$B$9/Assumptions!$C$16*1000*$A17*Assumptions!$C$18*Assumptions!$C$19*E$16</f>
        <v>2.916</v>
      </c>
      <c r="F17" s="37" t="n">
        <f aca="false">Assumptions!$B$9/Assumptions!$C$16*1000*$A17*Assumptions!$C$18*Assumptions!$C$19*F$16</f>
        <v>3.564</v>
      </c>
      <c r="G17" s="37" t="n">
        <f aca="false">Assumptions!$B$9/Assumptions!$C$16*1000*$A17*Assumptions!$C$18*Assumptions!$C$19*G$16</f>
        <v>4.212</v>
      </c>
    </row>
    <row r="18" customFormat="false" ht="15" hidden="false" customHeight="false" outlineLevel="0" collapsed="false">
      <c r="A18" s="36" t="n">
        <v>0.008</v>
      </c>
      <c r="B18" s="37" t="n">
        <f aca="false">Assumptions!$B$9/Assumptions!$C$16*1000*$A18*Assumptions!$C$18*Assumptions!$C$19*B$16</f>
        <v>1.296</v>
      </c>
      <c r="C18" s="37" t="n">
        <f aca="false">Assumptions!$B$9/Assumptions!$C$16*1000*$A18*Assumptions!$C$18*Assumptions!$C$19*C$16</f>
        <v>2.16</v>
      </c>
      <c r="D18" s="37" t="n">
        <f aca="false">Assumptions!$B$9/Assumptions!$C$16*1000*$A18*Assumptions!$C$18*Assumptions!$C$19*D$16</f>
        <v>3.024</v>
      </c>
      <c r="E18" s="37" t="n">
        <f aca="false">Assumptions!$B$9/Assumptions!$C$16*1000*$A18*Assumptions!$C$18*Assumptions!$C$19*E$16</f>
        <v>3.888</v>
      </c>
      <c r="F18" s="37" t="n">
        <f aca="false">Assumptions!$B$9/Assumptions!$C$16*1000*$A18*Assumptions!$C$18*Assumptions!$C$19*F$16</f>
        <v>4.752</v>
      </c>
      <c r="G18" s="37" t="n">
        <f aca="false">Assumptions!$B$9/Assumptions!$C$16*1000*$A18*Assumptions!$C$18*Assumptions!$C$19*G$16</f>
        <v>5.616</v>
      </c>
    </row>
    <row r="19" customFormat="false" ht="15" hidden="false" customHeight="false" outlineLevel="0" collapsed="false">
      <c r="A19" s="36" t="n">
        <v>0.01</v>
      </c>
      <c r="B19" s="37" t="n">
        <f aca="false">Assumptions!$B$9/Assumptions!$C$16*1000*$A19*Assumptions!$C$18*Assumptions!$C$19*B$16</f>
        <v>1.62</v>
      </c>
      <c r="C19" s="37" t="n">
        <f aca="false">Assumptions!$B$9/Assumptions!$C$16*1000*$A19*Assumptions!$C$18*Assumptions!$C$19*C$16</f>
        <v>2.7</v>
      </c>
      <c r="D19" s="37" t="n">
        <f aca="false">Assumptions!$B$9/Assumptions!$C$16*1000*$A19*Assumptions!$C$18*Assumptions!$C$19*D$16</f>
        <v>3.78</v>
      </c>
      <c r="E19" s="37" t="n">
        <f aca="false">Assumptions!$B$9/Assumptions!$C$16*1000*$A19*Assumptions!$C$18*Assumptions!$C$19*E$16</f>
        <v>4.86</v>
      </c>
      <c r="F19" s="37" t="n">
        <f aca="false">Assumptions!$B$9/Assumptions!$C$16*1000*$A19*Assumptions!$C$18*Assumptions!$C$19*F$16</f>
        <v>5.94</v>
      </c>
      <c r="G19" s="37" t="n">
        <f aca="false">Assumptions!$B$9/Assumptions!$C$16*1000*$A19*Assumptions!$C$18*Assumptions!$C$19*G$16</f>
        <v>7.02</v>
      </c>
    </row>
    <row r="20" customFormat="false" ht="15" hidden="false" customHeight="false" outlineLevel="0" collapsed="false">
      <c r="A20" s="36" t="n">
        <v>0.012</v>
      </c>
      <c r="B20" s="37" t="n">
        <f aca="false">Assumptions!$B$9/Assumptions!$C$16*1000*$A20*Assumptions!$C$18*Assumptions!$C$19*B$16</f>
        <v>1.944</v>
      </c>
      <c r="C20" s="37" t="n">
        <f aca="false">Assumptions!$B$9/Assumptions!$C$16*1000*$A20*Assumptions!$C$18*Assumptions!$C$19*C$16</f>
        <v>3.24</v>
      </c>
      <c r="D20" s="37" t="n">
        <f aca="false">Assumptions!$B$9/Assumptions!$C$16*1000*$A20*Assumptions!$C$18*Assumptions!$C$19*D$16</f>
        <v>4.536</v>
      </c>
      <c r="E20" s="37" t="n">
        <f aca="false">Assumptions!$B$9/Assumptions!$C$16*1000*$A20*Assumptions!$C$18*Assumptions!$C$19*E$16</f>
        <v>5.832</v>
      </c>
      <c r="F20" s="37" t="n">
        <f aca="false">Assumptions!$B$9/Assumptions!$C$16*1000*$A20*Assumptions!$C$18*Assumptions!$C$19*F$16</f>
        <v>7.128</v>
      </c>
      <c r="G20" s="37" t="n">
        <f aca="false">Assumptions!$B$9/Assumptions!$C$16*1000*$A20*Assumptions!$C$18*Assumptions!$C$19*G$16</f>
        <v>8.424</v>
      </c>
    </row>
    <row r="21" customFormat="false" ht="15" hidden="false" customHeight="false" outlineLevel="0" collapsed="false">
      <c r="A21" s="36" t="n">
        <v>0.014</v>
      </c>
      <c r="B21" s="37" t="n">
        <f aca="false">Assumptions!$B$9/Assumptions!$C$16*1000*$A21*Assumptions!$C$18*Assumptions!$C$19*B$16</f>
        <v>2.268</v>
      </c>
      <c r="C21" s="37" t="n">
        <f aca="false">Assumptions!$B$9/Assumptions!$C$16*1000*$A21*Assumptions!$C$18*Assumptions!$C$19*C$16</f>
        <v>3.78</v>
      </c>
      <c r="D21" s="37" t="n">
        <f aca="false">Assumptions!$B$9/Assumptions!$C$16*1000*$A21*Assumptions!$C$18*Assumptions!$C$19*D$16</f>
        <v>5.292</v>
      </c>
      <c r="E21" s="37" t="n">
        <f aca="false">Assumptions!$B$9/Assumptions!$C$16*1000*$A21*Assumptions!$C$18*Assumptions!$C$19*E$16</f>
        <v>6.804</v>
      </c>
      <c r="F21" s="37" t="n">
        <f aca="false">Assumptions!$B$9/Assumptions!$C$16*1000*$A21*Assumptions!$C$18*Assumptions!$C$19*F$16</f>
        <v>8.316</v>
      </c>
      <c r="G21" s="37" t="n">
        <f aca="false">Assumptions!$B$9/Assumptions!$C$16*1000*$A21*Assumptions!$C$18*Assumptions!$C$19*G$16</f>
        <v>9.828</v>
      </c>
    </row>
    <row r="22" customFormat="false" ht="15" hidden="false" customHeight="false" outlineLevel="0" collapsed="false">
      <c r="A22" s="36" t="n">
        <v>0.016</v>
      </c>
      <c r="B22" s="37" t="n">
        <f aca="false">Assumptions!$B$9/Assumptions!$C$16*1000*$A22*Assumptions!$C$18*Assumptions!$C$19*B$16</f>
        <v>2.592</v>
      </c>
      <c r="C22" s="37" t="n">
        <f aca="false">Assumptions!$B$9/Assumptions!$C$16*1000*$A22*Assumptions!$C$18*Assumptions!$C$19*C$16</f>
        <v>4.32</v>
      </c>
      <c r="D22" s="37" t="n">
        <f aca="false">Assumptions!$B$9/Assumptions!$C$16*1000*$A22*Assumptions!$C$18*Assumptions!$C$19*D$16</f>
        <v>6.048</v>
      </c>
      <c r="E22" s="37" t="n">
        <f aca="false">Assumptions!$B$9/Assumptions!$C$16*1000*$A22*Assumptions!$C$18*Assumptions!$C$19*E$16</f>
        <v>7.776</v>
      </c>
      <c r="F22" s="37" t="n">
        <f aca="false">Assumptions!$B$9/Assumptions!$C$16*1000*$A22*Assumptions!$C$18*Assumptions!$C$19*F$16</f>
        <v>9.504</v>
      </c>
      <c r="G22" s="37" t="n">
        <f aca="false">Assumptions!$B$9/Assumptions!$C$16*1000*$A22*Assumptions!$C$18*Assumptions!$C$19*G$16</f>
        <v>11.232</v>
      </c>
    </row>
    <row r="23" customFormat="false" ht="15" hidden="false" customHeight="false" outlineLevel="0" collapsed="false">
      <c r="A23" s="36" t="n">
        <v>0.02</v>
      </c>
      <c r="B23" s="37" t="n">
        <f aca="false">Assumptions!$B$9/Assumptions!$C$16*1000*$A23*Assumptions!$C$18*Assumptions!$C$19*B$16</f>
        <v>3.24</v>
      </c>
      <c r="C23" s="37" t="n">
        <f aca="false">Assumptions!$B$9/Assumptions!$C$16*1000*$A23*Assumptions!$C$18*Assumptions!$C$19*C$16</f>
        <v>5.4</v>
      </c>
      <c r="D23" s="37" t="n">
        <f aca="false">Assumptions!$B$9/Assumptions!$C$16*1000*$A23*Assumptions!$C$18*Assumptions!$C$19*D$16</f>
        <v>7.56</v>
      </c>
      <c r="E23" s="37" t="n">
        <f aca="false">Assumptions!$B$9/Assumptions!$C$16*1000*$A23*Assumptions!$C$18*Assumptions!$C$19*E$16</f>
        <v>9.72</v>
      </c>
      <c r="F23" s="37" t="n">
        <f aca="false">Assumptions!$B$9/Assumptions!$C$16*1000*$A23*Assumptions!$C$18*Assumptions!$C$19*F$16</f>
        <v>11.88</v>
      </c>
      <c r="G23" s="37" t="n">
        <f aca="false">Assumptions!$B$9/Assumptions!$C$16*1000*$A23*Assumptions!$C$18*Assumptions!$C$19*G$16</f>
        <v>14.04</v>
      </c>
    </row>
    <row r="25" customFormat="false" ht="15" hidden="false" customHeight="false" outlineLevel="0" collapsed="false">
      <c r="A25" s="38" t="s">
        <v>99</v>
      </c>
    </row>
    <row r="26" customFormat="false" ht="15" hidden="false" customHeight="true" outlineLevel="0" collapsed="false">
      <c r="A26" s="15" t="s">
        <v>100</v>
      </c>
      <c r="B26" s="15"/>
      <c r="C26" s="15"/>
      <c r="D26" s="15"/>
      <c r="E26" s="15"/>
      <c r="F26" s="15"/>
      <c r="G26" s="15"/>
      <c r="H26" s="15"/>
    </row>
    <row r="29" customFormat="false" ht="15" hidden="false" customHeight="false" outlineLevel="0" collapsed="false">
      <c r="A29" s="13" t="s">
        <v>101</v>
      </c>
    </row>
    <row r="30" customFormat="false" ht="27.75" hidden="false" customHeight="true" outlineLevel="0" collapsed="false">
      <c r="A30" s="15" t="s">
        <v>102</v>
      </c>
      <c r="B30" s="15"/>
      <c r="C30" s="15"/>
      <c r="D30" s="15"/>
      <c r="E30" s="15"/>
      <c r="F30" s="15"/>
      <c r="G30" s="15"/>
      <c r="H30" s="15"/>
    </row>
    <row r="31" customFormat="false" ht="27.75" hidden="false" customHeight="true" outlineLevel="0" collapsed="false">
      <c r="A31" s="15" t="s">
        <v>103</v>
      </c>
      <c r="B31" s="15"/>
      <c r="C31" s="15"/>
      <c r="D31" s="15"/>
      <c r="E31" s="15"/>
      <c r="F31" s="15"/>
      <c r="G31" s="15"/>
      <c r="H31" s="15"/>
    </row>
    <row r="32" customFormat="false" ht="27.75" hidden="false" customHeight="true" outlineLevel="0" collapsed="false">
      <c r="A32" s="15" t="s">
        <v>104</v>
      </c>
      <c r="B32" s="15"/>
      <c r="C32" s="15"/>
      <c r="D32" s="15"/>
      <c r="E32" s="15"/>
      <c r="F32" s="15"/>
      <c r="G32" s="15"/>
      <c r="H32" s="15"/>
    </row>
    <row r="33" customFormat="false" ht="27.75" hidden="false" customHeight="true" outlineLevel="0" collapsed="false">
      <c r="A33" s="15" t="s">
        <v>105</v>
      </c>
      <c r="B33" s="15"/>
      <c r="C33" s="15"/>
      <c r="D33" s="15"/>
      <c r="E33" s="15"/>
      <c r="F33" s="15"/>
      <c r="G33" s="15"/>
      <c r="H33" s="15"/>
    </row>
  </sheetData>
  <mergeCells count="7">
    <mergeCell ref="A10:H10"/>
    <mergeCell ref="A14:H14"/>
    <mergeCell ref="A26:H26"/>
    <mergeCell ref="A30:H30"/>
    <mergeCell ref="A31:H31"/>
    <mergeCell ref="A32:H32"/>
    <mergeCell ref="A33:H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5" min="2" style="0" width="17"/>
    <col collapsed="false" customWidth="true" hidden="false" outlineLevel="0" max="6" min="6" style="0" width="52"/>
  </cols>
  <sheetData>
    <row r="1" customFormat="false" ht="19.7" hidden="false" customHeight="false" outlineLevel="0" collapsed="false">
      <c r="A1" s="1" t="s">
        <v>106</v>
      </c>
    </row>
    <row r="2" customFormat="false" ht="15" hidden="false" customHeight="false" outlineLevel="0" collapsed="false">
      <c r="A2" s="2" t="s">
        <v>107</v>
      </c>
    </row>
    <row r="5" customFormat="false" ht="15" hidden="false" customHeight="false" outlineLevel="0" collapsed="false">
      <c r="A5" s="3"/>
      <c r="B5" s="3" t="s">
        <v>108</v>
      </c>
      <c r="C5" s="3" t="s">
        <v>109</v>
      </c>
      <c r="D5" s="3" t="s">
        <v>110</v>
      </c>
      <c r="E5" s="4"/>
    </row>
    <row r="6" customFormat="false" ht="15" hidden="false" customHeight="false" outlineLevel="0" collapsed="false">
      <c r="A6" s="5" t="s">
        <v>37</v>
      </c>
      <c r="B6" s="17" t="n">
        <v>500</v>
      </c>
      <c r="C6" s="17" t="n">
        <v>1500</v>
      </c>
      <c r="D6" s="17" t="n">
        <v>3000</v>
      </c>
    </row>
    <row r="7" customFormat="false" ht="15" hidden="false" customHeight="false" outlineLevel="0" collapsed="false">
      <c r="A7" s="5" t="s">
        <v>111</v>
      </c>
      <c r="B7" s="31" t="n">
        <f aca="false">B6*Assumptions!$B$6</f>
        <v>15000</v>
      </c>
      <c r="C7" s="31" t="n">
        <f aca="false">C6*Assumptions!$B$6</f>
        <v>45000</v>
      </c>
      <c r="D7" s="31" t="n">
        <f aca="false">D6*Assumptions!$B$6</f>
        <v>90000</v>
      </c>
    </row>
    <row r="8" customFormat="false" ht="15" hidden="false" customHeight="false" outlineLevel="0" collapsed="false">
      <c r="A8" s="5" t="s">
        <v>112</v>
      </c>
      <c r="B8" s="17" t="n">
        <v>160</v>
      </c>
      <c r="C8" s="17" t="n">
        <v>185</v>
      </c>
      <c r="D8" s="17" t="n">
        <v>225</v>
      </c>
    </row>
    <row r="9" customFormat="false" ht="13.5" hidden="false" customHeight="true" outlineLevel="0" collapsed="false">
      <c r="F9" s="18" t="s">
        <v>113</v>
      </c>
    </row>
    <row r="10" customFormat="false" ht="15" hidden="false" customHeight="false" outlineLevel="0" collapsed="false">
      <c r="A10" s="5" t="s">
        <v>71</v>
      </c>
      <c r="B10" s="25" t="n">
        <f aca="false">B7/B8*1000</f>
        <v>93750</v>
      </c>
      <c r="C10" s="25" t="n">
        <f aca="false">C7/C8*1000</f>
        <v>243243.243243243</v>
      </c>
      <c r="D10" s="25" t="n">
        <f aca="false">D7/D8*1000</f>
        <v>400000</v>
      </c>
    </row>
    <row r="11" customFormat="false" ht="15" hidden="false" customHeight="false" outlineLevel="0" collapsed="false">
      <c r="A11" s="5" t="s">
        <v>73</v>
      </c>
      <c r="B11" s="25" t="n">
        <f aca="false">B10*Assumptions!$C$17</f>
        <v>1125</v>
      </c>
      <c r="C11" s="25" t="n">
        <f aca="false">C10*Assumptions!$C$17</f>
        <v>2918.91891891892</v>
      </c>
      <c r="D11" s="25" t="n">
        <f aca="false">D10*Assumptions!$C$17</f>
        <v>4800</v>
      </c>
    </row>
    <row r="12" customFormat="false" ht="15" hidden="false" customHeight="false" outlineLevel="0" collapsed="false">
      <c r="A12" s="5" t="s">
        <v>75</v>
      </c>
      <c r="B12" s="25" t="n">
        <f aca="false">B11*Assumptions!$C$18</f>
        <v>810</v>
      </c>
      <c r="C12" s="25" t="n">
        <f aca="false">C11*Assumptions!$C$18</f>
        <v>2101.62162162162</v>
      </c>
      <c r="D12" s="25" t="n">
        <f aca="false">D11*Assumptions!$C$18</f>
        <v>3456</v>
      </c>
    </row>
    <row r="13" customFormat="false" ht="15" hidden="false" customHeight="false" outlineLevel="0" collapsed="false">
      <c r="A13" s="5" t="s">
        <v>8</v>
      </c>
      <c r="B13" s="26" t="n">
        <f aca="false">B12*Assumptions!$C$19</f>
        <v>32.4</v>
      </c>
      <c r="C13" s="26" t="n">
        <f aca="false">C12*Assumptions!$C$19</f>
        <v>84.0648648648649</v>
      </c>
      <c r="D13" s="26" t="n">
        <f aca="false">D12*Assumptions!$C$19</f>
        <v>138.24</v>
      </c>
    </row>
    <row r="14" customFormat="false" ht="15" hidden="false" customHeight="false" outlineLevel="0" collapsed="false">
      <c r="A14" s="9" t="s">
        <v>9</v>
      </c>
      <c r="B14" s="27" t="n">
        <f aca="false">B13*Assumptions!$C$20</f>
        <v>5.184</v>
      </c>
      <c r="C14" s="27" t="n">
        <f aca="false">C13*Assumptions!$C$20</f>
        <v>13.4503783783784</v>
      </c>
      <c r="D14" s="27" t="n">
        <f aca="false">D13*Assumptions!$C$20</f>
        <v>22.1184</v>
      </c>
    </row>
    <row r="15" customFormat="false" ht="15" hidden="false" customHeight="false" outlineLevel="0" collapsed="false">
      <c r="A15" s="5" t="s">
        <v>10</v>
      </c>
      <c r="B15" s="24" t="n">
        <f aca="false">B14*Assumptions!$B$7</f>
        <v>25914.816</v>
      </c>
      <c r="C15" s="24" t="n">
        <f aca="false">C14*Assumptions!$B$7</f>
        <v>67238.4415135135</v>
      </c>
      <c r="D15" s="24" t="n">
        <f aca="false">D14*Assumptions!$B$7</f>
        <v>110569.8816</v>
      </c>
    </row>
    <row r="16" customFormat="false" ht="15" hidden="false" customHeight="false" outlineLevel="0" collapsed="false">
      <c r="A16" s="9" t="s">
        <v>11</v>
      </c>
      <c r="B16" s="29" t="n">
        <f aca="false">B15-B7</f>
        <v>10914.816</v>
      </c>
      <c r="C16" s="29" t="n">
        <f aca="false">C15-C7</f>
        <v>22238.4415135135</v>
      </c>
      <c r="D16" s="29" t="n">
        <f aca="false">D15-D7</f>
        <v>20569.8816</v>
      </c>
    </row>
    <row r="17" customFormat="false" ht="15" hidden="false" customHeight="false" outlineLevel="0" collapsed="false">
      <c r="A17" s="5" t="s">
        <v>12</v>
      </c>
      <c r="B17" s="30" t="n">
        <f aca="false">IF(B7=0,0,B15/B7)</f>
        <v>1.7276544</v>
      </c>
      <c r="C17" s="30" t="n">
        <f aca="false">IF(C7=0,0,C15/C7)</f>
        <v>1.49418758918919</v>
      </c>
      <c r="D17" s="30" t="n">
        <f aca="false">IF(D7=0,0,D15/D7)</f>
        <v>1.22855424</v>
      </c>
    </row>
    <row r="18" customFormat="false" ht="15" hidden="false" customHeight="false" outlineLevel="0" collapsed="false">
      <c r="A18" s="5" t="s">
        <v>114</v>
      </c>
      <c r="B18" s="24" t="n">
        <f aca="false">IF(B14=0,0,B7/B14)</f>
        <v>2893.51851851852</v>
      </c>
      <c r="C18" s="24" t="n">
        <f aca="false">IF(C14=0,0,C7/C14)</f>
        <v>3345.63078703704</v>
      </c>
      <c r="D18" s="24" t="n">
        <f aca="false">IF(D14=0,0,D7/D14)</f>
        <v>4069.01041666667</v>
      </c>
    </row>
    <row r="21" customFormat="false" ht="15" hidden="false" customHeight="false" outlineLevel="0" collapsed="false">
      <c r="A21" s="13" t="s">
        <v>115</v>
      </c>
    </row>
    <row r="22" customFormat="false" ht="30" hidden="false" customHeight="true" outlineLevel="0" collapsed="false">
      <c r="A22" s="15" t="s">
        <v>116</v>
      </c>
      <c r="B22" s="15"/>
      <c r="C22" s="15"/>
      <c r="D22" s="15"/>
      <c r="E22" s="15"/>
      <c r="F22" s="15"/>
    </row>
    <row r="23" customFormat="false" ht="30" hidden="false" customHeight="true" outlineLevel="0" collapsed="false">
      <c r="A23" s="15" t="s">
        <v>117</v>
      </c>
      <c r="B23" s="15"/>
      <c r="C23" s="15"/>
      <c r="D23" s="15"/>
      <c r="E23" s="15"/>
      <c r="F23" s="15"/>
    </row>
    <row r="24" customFormat="false" ht="30" hidden="false" customHeight="true" outlineLevel="0" collapsed="false">
      <c r="A24" s="15" t="s">
        <v>118</v>
      </c>
      <c r="B24" s="15"/>
      <c r="C24" s="15"/>
      <c r="D24" s="15"/>
      <c r="E24" s="15"/>
      <c r="F24" s="15"/>
    </row>
    <row r="25" customFormat="false" ht="30" hidden="false" customHeight="true" outlineLevel="0" collapsed="false">
      <c r="A25" s="15" t="s">
        <v>119</v>
      </c>
      <c r="B25" s="15"/>
      <c r="C25" s="15"/>
      <c r="D25" s="15"/>
      <c r="E25" s="15"/>
      <c r="F25" s="15"/>
    </row>
  </sheetData>
  <mergeCells count="4">
    <mergeCell ref="A22:F22"/>
    <mergeCell ref="A23:F23"/>
    <mergeCell ref="A24:F24"/>
    <mergeCell ref="A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44"/>
    <col collapsed="false" customWidth="true" hidden="false" outlineLevel="0" max="4" min="4" style="0" width="52"/>
  </cols>
  <sheetData>
    <row r="1" customFormat="false" ht="19.7" hidden="false" customHeight="false" outlineLevel="0" collapsed="false">
      <c r="A1" s="1" t="s">
        <v>120</v>
      </c>
    </row>
    <row r="2" customFormat="false" ht="15" hidden="false" customHeight="false" outlineLevel="0" collapsed="false">
      <c r="A2" s="2" t="s">
        <v>121</v>
      </c>
    </row>
    <row r="5" customFormat="false" ht="15" hidden="false" customHeight="false" outlineLevel="0" collapsed="false">
      <c r="A5" s="3" t="s">
        <v>122</v>
      </c>
      <c r="B5" s="3" t="s">
        <v>123</v>
      </c>
      <c r="C5" s="3" t="s">
        <v>124</v>
      </c>
      <c r="D5" s="3" t="s">
        <v>125</v>
      </c>
    </row>
    <row r="6" customFormat="false" ht="51.75" hidden="false" customHeight="true" outlineLevel="0" collapsed="false">
      <c r="A6" s="39" t="s">
        <v>126</v>
      </c>
      <c r="B6" s="40" t="s">
        <v>127</v>
      </c>
      <c r="C6" s="40" t="s">
        <v>128</v>
      </c>
      <c r="D6" s="40" t="s">
        <v>129</v>
      </c>
    </row>
    <row r="7" customFormat="false" ht="51.75" hidden="false" customHeight="true" outlineLevel="0" collapsed="false">
      <c r="A7" s="39" t="s">
        <v>130</v>
      </c>
      <c r="B7" s="40" t="s">
        <v>131</v>
      </c>
      <c r="C7" s="40" t="s">
        <v>132</v>
      </c>
      <c r="D7" s="40" t="s">
        <v>133</v>
      </c>
    </row>
    <row r="8" customFormat="false" ht="51.75" hidden="false" customHeight="true" outlineLevel="0" collapsed="false">
      <c r="A8" s="39" t="s">
        <v>134</v>
      </c>
      <c r="B8" s="40" t="s">
        <v>135</v>
      </c>
      <c r="C8" s="40" t="s">
        <v>136</v>
      </c>
      <c r="D8" s="40" t="s">
        <v>137</v>
      </c>
    </row>
    <row r="9" customFormat="false" ht="51.75" hidden="false" customHeight="true" outlineLevel="0" collapsed="false">
      <c r="A9" s="39" t="s">
        <v>138</v>
      </c>
      <c r="B9" s="40" t="s">
        <v>139</v>
      </c>
      <c r="C9" s="40" t="s">
        <v>140</v>
      </c>
      <c r="D9" s="40" t="s">
        <v>141</v>
      </c>
    </row>
    <row r="10" customFormat="false" ht="51.75" hidden="false" customHeight="true" outlineLevel="0" collapsed="false">
      <c r="A10" s="39" t="s">
        <v>142</v>
      </c>
      <c r="B10" s="40" t="s">
        <v>143</v>
      </c>
      <c r="C10" s="40" t="s">
        <v>144</v>
      </c>
      <c r="D10" s="40" t="s">
        <v>145</v>
      </c>
    </row>
    <row r="11" customFormat="false" ht="51.75" hidden="false" customHeight="true" outlineLevel="0" collapsed="false">
      <c r="A11" s="39" t="s">
        <v>146</v>
      </c>
      <c r="B11" s="40" t="s">
        <v>147</v>
      </c>
      <c r="C11" s="40" t="s">
        <v>148</v>
      </c>
      <c r="D11" s="40" t="s">
        <v>149</v>
      </c>
    </row>
    <row r="12" customFormat="false" ht="51.75" hidden="false" customHeight="true" outlineLevel="0" collapsed="false">
      <c r="A12" s="39" t="s">
        <v>150</v>
      </c>
      <c r="B12" s="40" t="s">
        <v>151</v>
      </c>
      <c r="C12" s="40" t="s">
        <v>152</v>
      </c>
      <c r="D12" s="40" t="s">
        <v>153</v>
      </c>
    </row>
    <row r="14" customFormat="false" ht="15" hidden="false" customHeight="false" outlineLevel="0" collapsed="false">
      <c r="A14" s="13" t="s">
        <v>154</v>
      </c>
    </row>
    <row r="15" customFormat="false" ht="33.75" hidden="false" customHeight="true" outlineLevel="0" collapsed="false">
      <c r="A15" s="15" t="s">
        <v>155</v>
      </c>
      <c r="B15" s="15"/>
      <c r="C15" s="15"/>
      <c r="D15" s="15"/>
    </row>
    <row r="16" customFormat="false" ht="15" hidden="false" customHeight="false" outlineLevel="0" collapsed="false">
      <c r="A16" s="18" t="s">
        <v>156</v>
      </c>
    </row>
    <row r="17" customFormat="false" ht="15" hidden="false" customHeight="false" outlineLevel="0" collapsed="false">
      <c r="A17" s="18" t="s">
        <v>157</v>
      </c>
    </row>
    <row r="18" customFormat="false" ht="15" hidden="false" customHeight="false" outlineLevel="0" collapsed="false">
      <c r="A18" s="18" t="s">
        <v>158</v>
      </c>
    </row>
    <row r="20" customFormat="false" ht="27.75" hidden="false" customHeight="true" outlineLevel="0" collapsed="false">
      <c r="A20" s="15" t="s">
        <v>159</v>
      </c>
      <c r="B20" s="15"/>
      <c r="C20" s="15"/>
      <c r="D20" s="15"/>
    </row>
  </sheetData>
  <mergeCells count="2">
    <mergeCell ref="A15:D15"/>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2026-08-03T18:15:56Z</dcterms:created>
  <dc:creator>openpyxl</dc:creator>
  <dc:description/>
  <dc:language>en-US</dc:language>
  <cp:lastModifiedBy/>
  <dcterms:modified xsi:type="dcterms:W3CDTF">2026-08-03T18:15:56Z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